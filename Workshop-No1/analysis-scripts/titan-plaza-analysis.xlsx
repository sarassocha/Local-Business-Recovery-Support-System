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174e9241cebbab/Documentos/"/>
    </mc:Choice>
  </mc:AlternateContent>
  <xr:revisionPtr revIDLastSave="2" documentId="8_{01281E07-0171-48BC-82CF-A622A6C4782B}" xr6:coauthVersionLast="47" xr6:coauthVersionMax="47" xr10:uidLastSave="{7C1986A0-565C-4A5F-9A3B-421896147762}"/>
  <bookViews>
    <workbookView xWindow="-110" yWindow="-110" windowWidth="19420" windowHeight="10300" activeTab="3" xr2:uid="{A250AC5A-0B7A-4FD7-AD9F-EC65DF86CE1A}"/>
  </bookViews>
  <sheets>
    <sheet name="GRAFIC 1" sheetId="3" r:id="rId1"/>
    <sheet name="GRAFIC 2" sheetId="5" r:id="rId2"/>
    <sheet name="GRAFIC 3" sheetId="4" r:id="rId3"/>
    <sheet name="GRAFIC 4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D16" i="3"/>
  <c r="D24" i="5"/>
</calcChain>
</file>

<file path=xl/sharedStrings.xml><?xml version="1.0" encoding="utf-8"?>
<sst xmlns="http://schemas.openxmlformats.org/spreadsheetml/2006/main" count="62" uniqueCount="38">
  <si>
    <t>Inventory Rotation Frequency</t>
  </si>
  <si>
    <t>Employe Survey</t>
  </si>
  <si>
    <t>(Inventory turnover rate in small businesses)</t>
  </si>
  <si>
    <t>Fast</t>
  </si>
  <si>
    <t>Normal</t>
  </si>
  <si>
    <t>Very Fast                                     (less than a week)</t>
  </si>
  <si>
    <t>Slow                                            (more than a month)</t>
  </si>
  <si>
    <t>Fast                                                      (1 - 2 weeks)</t>
  </si>
  <si>
    <t>Normal                                               (2 - 4 weeks)</t>
  </si>
  <si>
    <t>TOTAL</t>
  </si>
  <si>
    <t>ANSWER</t>
  </si>
  <si>
    <t>%</t>
  </si>
  <si>
    <t>FREQUENCY</t>
  </si>
  <si>
    <t>Very Fast</t>
  </si>
  <si>
    <t>Slow</t>
  </si>
  <si>
    <t>Customer Survey</t>
  </si>
  <si>
    <t>Visit motives distribution</t>
  </si>
  <si>
    <t>(Percentage of customers by reason for visit)</t>
  </si>
  <si>
    <t>Shop in small / Local stores</t>
  </si>
  <si>
    <t>Food court / Restaurants</t>
  </si>
  <si>
    <t>Cinema / Entertainmen</t>
  </si>
  <si>
    <t>Large stores</t>
  </si>
  <si>
    <t>Just for a walk / Accompanying someone</t>
  </si>
  <si>
    <t>Other</t>
  </si>
  <si>
    <t>Post-Pandemic spending behavior</t>
  </si>
  <si>
    <t>(Spending comparison: higher, the same, or better than before the pandemic)</t>
  </si>
  <si>
    <t>Mayor</t>
  </si>
  <si>
    <t>Same</t>
  </si>
  <si>
    <t>Smaller</t>
  </si>
  <si>
    <t>11.76%</t>
  </si>
  <si>
    <t>17.65%</t>
  </si>
  <si>
    <t>29.41%</t>
  </si>
  <si>
    <t>ENTER</t>
  </si>
  <si>
    <t>EXIT</t>
  </si>
  <si>
    <t>Saturday (9am - 12pm)</t>
  </si>
  <si>
    <t>Sunday (12pm - 3pm)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</si>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</sst>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/>
    <xf numFmtId="0" fontId="0" fillId="2" borderId="1" xfId="0" applyFill="1" applyBorder="1" applyAlignment="1">
      <alignment vertical="center" wrapText="1"/>
    </xf>
    <xf numFmtId="1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9" borderId="4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9" fontId="0" fillId="2" borderId="2" xfId="0" applyNumberForma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Saturday</a:t>
            </a:r>
            <a:r>
              <a:rPr lang="es-CO" baseline="0"/>
              <a:t> vs Sunday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ENTER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 1'!$B$20:$B$21</c:f>
              <c:strCache>
                <c:ptCount val="2"/>
                <c:pt idx="0">
                  <c:v>Saturday</c:v>
                </c:pt>
                <c:pt idx="1">
                  <c:v>Sunday</c:v>
                </c:pt>
              </c:strCache>
            </c:strRef>
          </c:cat>
          <c:val>
            <c:numRef>
              <c:f>'GRAFIC 1'!$C$20:$C$21</c:f>
              <c:numCache>
                <c:formatCode>General</c:formatCode>
                <c:ptCount val="2"/>
                <c:pt idx="0">
                  <c:v>343</c:v>
                </c:pt>
                <c:pt idx="1">
                  <c:v>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1-456D-8F54-CD9503F76805}"/>
            </c:ext>
          </c:extLst>
        </c:ser>
        <c:ser>
          <c:idx val="1"/>
          <c:order val="1"/>
          <c:tx>
            <c:v>EXIT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'GRAFIC 1'!$B$20:$B$21</c:f>
              <c:strCache>
                <c:ptCount val="2"/>
                <c:pt idx="0">
                  <c:v>Saturday</c:v>
                </c:pt>
                <c:pt idx="1">
                  <c:v>Sunday</c:v>
                </c:pt>
              </c:strCache>
            </c:strRef>
          </c:cat>
          <c:val>
            <c:numRef>
              <c:f>'GRAFIC 1'!$D$20:$D$21</c:f>
              <c:numCache>
                <c:formatCode>General</c:formatCode>
                <c:ptCount val="2"/>
                <c:pt idx="0">
                  <c:v>262</c:v>
                </c:pt>
                <c:pt idx="1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41-456D-8F54-CD9503F76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5737552"/>
        <c:axId val="1055736112"/>
      </c:barChart>
      <c:catAx>
        <c:axId val="105573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5736112"/>
        <c:crosses val="autoZero"/>
        <c:auto val="1"/>
        <c:lblAlgn val="ctr"/>
        <c:lblOffset val="100"/>
        <c:noMultiLvlLbl val="0"/>
      </c:catAx>
      <c:valAx>
        <c:axId val="105573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573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Visit motives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0CDD-46CC-AC5C-1F38B7A7DF2F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0CDD-46CC-AC5C-1F38B7A7DF2F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0CDD-46CC-AC5C-1F38B7A7DF2F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0CDD-46CC-AC5C-1F38B7A7DF2F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0CDD-46CC-AC5C-1F38B7A7DF2F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0CDD-46CC-AC5C-1F38B7A7DF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 2'!$B$31:$B$36</c:f>
              <c:strCache>
                <c:ptCount val="6"/>
                <c:pt idx="0">
                  <c:v>Shop in small / Local stores</c:v>
                </c:pt>
                <c:pt idx="1">
                  <c:v>Food court / Restaurants</c:v>
                </c:pt>
                <c:pt idx="2">
                  <c:v>Cinema / Entertainmen</c:v>
                </c:pt>
                <c:pt idx="3">
                  <c:v>Large stores</c:v>
                </c:pt>
                <c:pt idx="4">
                  <c:v>Just for a walk / Accompanying someone</c:v>
                </c:pt>
                <c:pt idx="5">
                  <c:v>Other</c:v>
                </c:pt>
              </c:strCache>
            </c:strRef>
          </c:cat>
          <c:val>
            <c:numRef>
              <c:f>'GRAFIC 2'!$C$31:$C$36</c:f>
              <c:numCache>
                <c:formatCode>General</c:formatCode>
                <c:ptCount val="6"/>
                <c:pt idx="0">
                  <c:v>11.76</c:v>
                </c:pt>
                <c:pt idx="1">
                  <c:v>17.649999999999999</c:v>
                </c:pt>
                <c:pt idx="2">
                  <c:v>17.649999999999999</c:v>
                </c:pt>
                <c:pt idx="3">
                  <c:v>11.76</c:v>
                </c:pt>
                <c:pt idx="4">
                  <c:v>11.76</c:v>
                </c:pt>
                <c:pt idx="5">
                  <c:v>29.41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7-40AB-ACF5-0DB85A666A8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Post-Pandemic spending behavior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'GRAFIC 3'!$C$24:$C$26</c:f>
              <c:strCache>
                <c:ptCount val="3"/>
                <c:pt idx="0">
                  <c:v>29.41%</c:v>
                </c:pt>
                <c:pt idx="1">
                  <c:v>29.41%</c:v>
                </c:pt>
                <c:pt idx="2">
                  <c:v>41.18%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B1-4CF7-8661-1FED6F4DB4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B1-4CF7-8661-1FED6F4DB4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B1-4CF7-8661-1FED6F4DB4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 3'!$B$24:$B$26</c:f>
              <c:strCache>
                <c:ptCount val="3"/>
                <c:pt idx="0">
                  <c:v>Mayor</c:v>
                </c:pt>
                <c:pt idx="1">
                  <c:v>Same</c:v>
                </c:pt>
                <c:pt idx="2">
                  <c:v>Smaller</c:v>
                </c:pt>
              </c:strCache>
            </c:strRef>
          </c:cat>
          <c:val>
            <c:numRef>
              <c:f>'GRAFIC 3'!$C$24:$C$26</c:f>
              <c:numCache>
                <c:formatCode>0.00%</c:formatCode>
                <c:ptCount val="3"/>
                <c:pt idx="0">
                  <c:v>0.29409999999999997</c:v>
                </c:pt>
                <c:pt idx="1">
                  <c:v>0.29409999999999997</c:v>
                </c:pt>
                <c:pt idx="2">
                  <c:v>0.4118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6D-4F27-AA52-FEDD07DBDEB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Inventory Rotation Frequency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7B8D-40A9-9668-B107092D9D1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7B8D-40A9-9668-B107092D9D1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6071-46FD-ABD6-834E9B6AC4EA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7B8D-40A9-9668-B107092D9D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'GRAFIC 4'!$B$29:$C$36</c15:sqref>
                  </c15:fullRef>
                </c:ext>
              </c:extLst>
              <c:f>('GRAFIC 4'!$B$29:$C$29,'GRAFIC 4'!$B$31:$C$31,'GRAFIC 4'!$B$33:$C$33,'GRAFIC 4'!$B$35:$C$35)</c:f>
              <c:strCache>
                <c:ptCount val="4"/>
                <c:pt idx="0">
                  <c:v>Very Fast</c:v>
                </c:pt>
                <c:pt idx="1">
                  <c:v>Fast</c:v>
                </c:pt>
                <c:pt idx="2">
                  <c:v>Normal</c:v>
                </c:pt>
                <c:pt idx="3">
                  <c:v>Slow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'GRAFIC 4'!$E$12:$E$19</c15:sqref>
                  </c15:fullRef>
                </c:ext>
              </c:extLst>
              <c:f>('GRAFIC 4'!$E$12,'GRAFIC 4'!$E$14,'GRAFIC 4'!$E$16,'GRAFIC 4'!$E$18)</c:f>
              <c:numCache>
                <c:formatCode>General</c:formatCode>
                <c:ptCount val="4"/>
                <c:pt idx="0" formatCode="0%">
                  <c:v>0.4</c:v>
                </c:pt>
                <c:pt idx="1" formatCode="0%">
                  <c:v>0.4</c:v>
                </c:pt>
                <c:pt idx="2" formatCode="0%">
                  <c:v>0.2</c:v>
                </c:pt>
                <c:pt idx="3" formatCode="0%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6071-46FD-ABD6-834E9B6AC4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10783</xdr:colOff>
      <xdr:row>1</xdr:row>
      <xdr:rowOff>1438</xdr:rowOff>
    </xdr:from>
    <xdr:to>
      <xdr:col>11</xdr:col>
      <xdr:colOff>629009</xdr:colOff>
      <xdr:row>16</xdr:row>
      <xdr:rowOff>48883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FD608D-77AF-A538-4679-373F528E8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</xdr:colOff>
      <xdr:row>1</xdr:row>
      <xdr:rowOff>3311</xdr:rowOff>
    </xdr:from>
    <xdr:to>
      <xdr:col>12</xdr:col>
      <xdr:colOff>786319</xdr:colOff>
      <xdr:row>18</xdr:row>
      <xdr:rowOff>113488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585BF6A-087E-A8CF-4AA3-B5377C48B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3595</xdr:colOff>
      <xdr:row>1</xdr:row>
      <xdr:rowOff>1438</xdr:rowOff>
    </xdr:from>
    <xdr:to>
      <xdr:col>11</xdr:col>
      <xdr:colOff>621821</xdr:colOff>
      <xdr:row>16</xdr:row>
      <xdr:rowOff>48883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11416B-95E8-1083-2C81-E0A829AF6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431</xdr:colOff>
      <xdr:row>0</xdr:row>
      <xdr:rowOff>179070</xdr:rowOff>
    </xdr:from>
    <xdr:to>
      <xdr:col>11</xdr:col>
      <xdr:colOff>610031</xdr:colOff>
      <xdr:row>15</xdr:row>
      <xdr:rowOff>179070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1576627-F3E6-D363-BEA9-D1643738B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5784-00DD-4D16-8B47-FD6FC8321A62}">
  <dimension ref="B2:E21"/>
  <sheetViews>
    <sheetView zoomScale="106" workbookViewId="0">
      <selection activeCell="C27" sqref="C27"/>
    </sheetView>
  </sheetViews>
  <sheetFormatPr baseColWidth="10" defaultRowHeight="14.5" x14ac:dyDescent="0.35"/>
  <sheetData>
    <row r="2" spans="2:5" x14ac:dyDescent="0.35">
      <c r="B2" s="13" t="s">
        <v>15</v>
      </c>
      <c r="C2" s="13"/>
      <c r="D2" s="13"/>
      <c r="E2" s="13"/>
    </row>
    <row r="3" spans="2:5" x14ac:dyDescent="0.35">
      <c r="B3" s="13"/>
      <c r="C3" s="13"/>
      <c r="D3" s="13"/>
      <c r="E3" s="13"/>
    </row>
    <row r="4" spans="2:5" x14ac:dyDescent="0.35">
      <c r="B4" s="14" t="s">
        <v>16</v>
      </c>
      <c r="C4" s="14"/>
      <c r="D4" s="14"/>
      <c r="E4" s="14"/>
    </row>
    <row r="5" spans="2:5" x14ac:dyDescent="0.35">
      <c r="B5" s="14"/>
      <c r="C5" s="14"/>
      <c r="D5" s="14"/>
      <c r="E5" s="14"/>
    </row>
    <row r="6" spans="2:5" x14ac:dyDescent="0.35">
      <c r="B6" s="15" t="s">
        <v>17</v>
      </c>
      <c r="C6" s="15"/>
      <c r="D6" s="15"/>
      <c r="E6" s="15"/>
    </row>
    <row r="7" spans="2:5" x14ac:dyDescent="0.35">
      <c r="B7" s="15"/>
      <c r="C7" s="15"/>
      <c r="D7" s="15"/>
      <c r="E7" s="15"/>
    </row>
    <row r="8" spans="2:5" x14ac:dyDescent="0.35">
      <c r="B8" s="1"/>
      <c r="C8" s="1"/>
      <c r="D8" s="1"/>
      <c r="E8" s="1"/>
    </row>
    <row r="9" spans="2:5" x14ac:dyDescent="0.35">
      <c r="B9" s="1"/>
      <c r="C9" s="1"/>
      <c r="D9" s="1"/>
      <c r="E9" s="1"/>
    </row>
    <row r="10" spans="2:5" x14ac:dyDescent="0.35">
      <c r="B10" s="16" t="s">
        <v>10</v>
      </c>
      <c r="C10" s="16"/>
      <c r="D10" s="16" t="s">
        <v>32</v>
      </c>
      <c r="E10" s="16" t="s">
        <v>33</v>
      </c>
    </row>
    <row r="11" spans="2:5" x14ac:dyDescent="0.35">
      <c r="B11" s="16"/>
      <c r="C11" s="16"/>
      <c r="D11" s="16"/>
      <c r="E11" s="16"/>
    </row>
    <row r="12" spans="2:5" x14ac:dyDescent="0.35">
      <c r="B12" s="7" t="s">
        <v>34</v>
      </c>
      <c r="C12" s="7"/>
      <c r="D12" s="8">
        <v>343</v>
      </c>
      <c r="E12" s="8">
        <v>262</v>
      </c>
    </row>
    <row r="13" spans="2:5" x14ac:dyDescent="0.35">
      <c r="B13" s="7"/>
      <c r="C13" s="7"/>
      <c r="D13" s="9"/>
      <c r="E13" s="9"/>
    </row>
    <row r="14" spans="2:5" x14ac:dyDescent="0.35">
      <c r="B14" s="10" t="s">
        <v>35</v>
      </c>
      <c r="C14" s="10"/>
      <c r="D14" s="11">
        <v>811</v>
      </c>
      <c r="E14" s="11">
        <v>309</v>
      </c>
    </row>
    <row r="15" spans="2:5" x14ac:dyDescent="0.35">
      <c r="B15" s="10"/>
      <c r="C15" s="10"/>
      <c r="D15" s="12"/>
      <c r="E15" s="12"/>
    </row>
    <row r="16" spans="2:5" x14ac:dyDescent="0.35">
      <c r="B16" s="5" t="s">
        <v>9</v>
      </c>
      <c r="C16" s="5"/>
      <c r="D16" s="6">
        <f>SUM(D12:D15)</f>
        <v>1154</v>
      </c>
      <c r="E16" s="6">
        <f>SUM(E12:E15)</f>
        <v>571</v>
      </c>
    </row>
    <row r="17" spans="2:5" x14ac:dyDescent="0.35">
      <c r="B17" s="5"/>
      <c r="C17" s="5"/>
      <c r="D17" s="6"/>
      <c r="E17" s="6"/>
    </row>
    <row r="20" spans="2:5" x14ac:dyDescent="0.35">
      <c r="B20" t="s">
        <v>36</v>
      </c>
      <c r="C20">
        <v>343</v>
      </c>
      <c r="D20">
        <v>262</v>
      </c>
    </row>
    <row r="21" spans="2:5" x14ac:dyDescent="0.35">
      <c r="B21" t="s">
        <v>37</v>
      </c>
      <c r="C21">
        <v>811</v>
      </c>
      <c r="D21">
        <v>309</v>
      </c>
    </row>
  </sheetData>
  <mergeCells count="15">
    <mergeCell ref="B2:E3"/>
    <mergeCell ref="B4:E5"/>
    <mergeCell ref="B6:E7"/>
    <mergeCell ref="B10:C11"/>
    <mergeCell ref="D10:D11"/>
    <mergeCell ref="E10:E11"/>
    <mergeCell ref="B16:C17"/>
    <mergeCell ref="D16:D17"/>
    <mergeCell ref="E16:E17"/>
    <mergeCell ref="B12:C13"/>
    <mergeCell ref="D12:D13"/>
    <mergeCell ref="E12:E13"/>
    <mergeCell ref="B14:C15"/>
    <mergeCell ref="D14:D15"/>
    <mergeCell ref="E14:E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E8CB-AF88-4ABA-B827-9D3E8AE23B72}">
  <dimension ref="B2:F39"/>
  <sheetViews>
    <sheetView zoomScale="91" workbookViewId="0">
      <selection activeCell="E32" sqref="E32"/>
    </sheetView>
  </sheetViews>
  <sheetFormatPr baseColWidth="10" defaultRowHeight="14.5" x14ac:dyDescent="0.35"/>
  <sheetData>
    <row r="2" spans="2:5" x14ac:dyDescent="0.35">
      <c r="B2" s="13" t="s">
        <v>15</v>
      </c>
      <c r="C2" s="13"/>
      <c r="D2" s="13"/>
      <c r="E2" s="13"/>
    </row>
    <row r="3" spans="2:5" x14ac:dyDescent="0.35">
      <c r="B3" s="13"/>
      <c r="C3" s="13"/>
      <c r="D3" s="13"/>
      <c r="E3" s="13"/>
    </row>
    <row r="4" spans="2:5" x14ac:dyDescent="0.35">
      <c r="B4" s="14" t="s">
        <v>16</v>
      </c>
      <c r="C4" s="14"/>
      <c r="D4" s="14"/>
      <c r="E4" s="14"/>
    </row>
    <row r="5" spans="2:5" x14ac:dyDescent="0.35">
      <c r="B5" s="14"/>
      <c r="C5" s="14"/>
      <c r="D5" s="14"/>
      <c r="E5" s="14"/>
    </row>
    <row r="6" spans="2:5" x14ac:dyDescent="0.35">
      <c r="B6" s="15" t="s">
        <v>17</v>
      </c>
      <c r="C6" s="15"/>
      <c r="D6" s="15"/>
      <c r="E6" s="15"/>
    </row>
    <row r="7" spans="2:5" x14ac:dyDescent="0.35">
      <c r="B7" s="15"/>
      <c r="C7" s="15"/>
      <c r="D7" s="15"/>
      <c r="E7" s="15"/>
    </row>
    <row r="8" spans="2:5" x14ac:dyDescent="0.35">
      <c r="B8" s="1"/>
      <c r="C8" s="1"/>
      <c r="D8" s="1"/>
      <c r="E8" s="1"/>
    </row>
    <row r="9" spans="2:5" x14ac:dyDescent="0.35">
      <c r="B9" s="1"/>
      <c r="C9" s="1"/>
      <c r="D9" s="1"/>
      <c r="E9" s="1"/>
    </row>
    <row r="10" spans="2:5" x14ac:dyDescent="0.35">
      <c r="B10" s="16" t="s">
        <v>10</v>
      </c>
      <c r="C10" s="16"/>
      <c r="D10" s="16" t="s">
        <v>12</v>
      </c>
      <c r="E10" s="16" t="s">
        <v>11</v>
      </c>
    </row>
    <row r="11" spans="2:5" x14ac:dyDescent="0.35">
      <c r="B11" s="16"/>
      <c r="C11" s="16"/>
      <c r="D11" s="16"/>
      <c r="E11" s="16"/>
    </row>
    <row r="12" spans="2:5" x14ac:dyDescent="0.35">
      <c r="B12" s="7" t="s">
        <v>18</v>
      </c>
      <c r="C12" s="7"/>
      <c r="D12" s="8">
        <v>2</v>
      </c>
      <c r="E12" s="27">
        <v>0.1176</v>
      </c>
    </row>
    <row r="13" spans="2:5" x14ac:dyDescent="0.35">
      <c r="B13" s="7"/>
      <c r="C13" s="7"/>
      <c r="D13" s="9"/>
      <c r="E13" s="9"/>
    </row>
    <row r="14" spans="2:5" x14ac:dyDescent="0.35">
      <c r="B14" s="10" t="s">
        <v>19</v>
      </c>
      <c r="C14" s="10"/>
      <c r="D14" s="11">
        <v>3</v>
      </c>
      <c r="E14" s="28">
        <v>0.17649999999999999</v>
      </c>
    </row>
    <row r="15" spans="2:5" x14ac:dyDescent="0.35">
      <c r="B15" s="10"/>
      <c r="C15" s="10"/>
      <c r="D15" s="12"/>
      <c r="E15" s="12"/>
    </row>
    <row r="16" spans="2:5" x14ac:dyDescent="0.35">
      <c r="B16" s="7" t="s">
        <v>20</v>
      </c>
      <c r="C16" s="7"/>
      <c r="D16" s="8">
        <v>3</v>
      </c>
      <c r="E16" s="8" t="s">
        <v>30</v>
      </c>
    </row>
    <row r="17" spans="2:6" x14ac:dyDescent="0.35">
      <c r="B17" s="7"/>
      <c r="C17" s="7"/>
      <c r="D17" s="9"/>
      <c r="E17" s="9"/>
    </row>
    <row r="18" spans="2:6" x14ac:dyDescent="0.35">
      <c r="B18" s="10" t="s">
        <v>21</v>
      </c>
      <c r="C18" s="10"/>
      <c r="D18" s="11">
        <v>2</v>
      </c>
      <c r="E18" s="11" t="s">
        <v>29</v>
      </c>
    </row>
    <row r="19" spans="2:6" x14ac:dyDescent="0.35">
      <c r="B19" s="10"/>
      <c r="C19" s="10"/>
      <c r="D19" s="12"/>
      <c r="E19" s="12"/>
    </row>
    <row r="20" spans="2:6" x14ac:dyDescent="0.35">
      <c r="B20" s="18" t="s">
        <v>22</v>
      </c>
      <c r="C20" s="19"/>
      <c r="D20" s="22">
        <v>2</v>
      </c>
      <c r="E20" s="8" t="s">
        <v>29</v>
      </c>
    </row>
    <row r="21" spans="2:6" x14ac:dyDescent="0.35">
      <c r="B21" s="20"/>
      <c r="C21" s="21"/>
      <c r="D21" s="22"/>
      <c r="E21" s="9"/>
    </row>
    <row r="22" spans="2:6" x14ac:dyDescent="0.35">
      <c r="B22" s="23" t="s">
        <v>23</v>
      </c>
      <c r="C22" s="24"/>
      <c r="D22" s="11">
        <v>5</v>
      </c>
      <c r="E22" s="11" t="s">
        <v>31</v>
      </c>
      <c r="F22" s="2"/>
    </row>
    <row r="23" spans="2:6" x14ac:dyDescent="0.35">
      <c r="B23" s="25"/>
      <c r="C23" s="26"/>
      <c r="D23" s="12"/>
      <c r="E23" s="12"/>
    </row>
    <row r="24" spans="2:6" x14ac:dyDescent="0.35">
      <c r="B24" s="5" t="s">
        <v>9</v>
      </c>
      <c r="C24" s="5"/>
      <c r="D24" s="6">
        <f>SUM(D12:D23)</f>
        <v>17</v>
      </c>
      <c r="E24" s="17">
        <v>1</v>
      </c>
    </row>
    <row r="25" spans="2:6" x14ac:dyDescent="0.35">
      <c r="B25" s="5"/>
      <c r="C25" s="5"/>
      <c r="D25" s="6"/>
      <c r="E25" s="6"/>
    </row>
    <row r="31" spans="2:6" ht="14.4" customHeight="1" x14ac:dyDescent="0.35">
      <c r="B31" s="3" t="s">
        <v>18</v>
      </c>
      <c r="C31" s="1">
        <v>11.76</v>
      </c>
    </row>
    <row r="32" spans="2:6" ht="29" x14ac:dyDescent="0.35">
      <c r="B32" s="3" t="s">
        <v>19</v>
      </c>
      <c r="C32" s="1">
        <v>17.649999999999999</v>
      </c>
    </row>
    <row r="33" spans="2:3" ht="14.4" customHeight="1" x14ac:dyDescent="0.35">
      <c r="B33" s="3" t="s">
        <v>20</v>
      </c>
      <c r="C33" s="1">
        <v>17.649999999999999</v>
      </c>
    </row>
    <row r="34" spans="2:3" x14ac:dyDescent="0.35">
      <c r="B34" s="3" t="s">
        <v>21</v>
      </c>
      <c r="C34" s="1">
        <v>11.76</v>
      </c>
    </row>
    <row r="35" spans="2:3" ht="14.4" customHeight="1" x14ac:dyDescent="0.35">
      <c r="B35" s="3" t="s">
        <v>22</v>
      </c>
      <c r="C35" s="1">
        <v>11.76</v>
      </c>
    </row>
    <row r="36" spans="2:3" x14ac:dyDescent="0.35">
      <c r="B36" s="3" t="s">
        <v>23</v>
      </c>
      <c r="C36" s="1">
        <v>29.41</v>
      </c>
    </row>
    <row r="39" spans="2:3" ht="14.4" customHeight="1" x14ac:dyDescent="0.35"/>
  </sheetData>
  <mergeCells count="27">
    <mergeCell ref="B2:E3"/>
    <mergeCell ref="B4:E5"/>
    <mergeCell ref="B6:E7"/>
    <mergeCell ref="B10:C11"/>
    <mergeCell ref="D10:D11"/>
    <mergeCell ref="E10:E11"/>
    <mergeCell ref="B12:C13"/>
    <mergeCell ref="D12:D13"/>
    <mergeCell ref="E12:E13"/>
    <mergeCell ref="B14:C15"/>
    <mergeCell ref="D14:D15"/>
    <mergeCell ref="E14:E15"/>
    <mergeCell ref="B16:C17"/>
    <mergeCell ref="D16:D17"/>
    <mergeCell ref="E16:E17"/>
    <mergeCell ref="B18:C19"/>
    <mergeCell ref="D18:D19"/>
    <mergeCell ref="E18:E19"/>
    <mergeCell ref="B24:C25"/>
    <mergeCell ref="D24:D25"/>
    <mergeCell ref="E24:E25"/>
    <mergeCell ref="B20:C21"/>
    <mergeCell ref="D20:D21"/>
    <mergeCell ref="E20:E21"/>
    <mergeCell ref="B22:C23"/>
    <mergeCell ref="D22:D23"/>
    <mergeCell ref="E22:E2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FB6CC-7AE6-41F3-BCC3-188BFBC066CF}">
  <dimension ref="B2:E26"/>
  <sheetViews>
    <sheetView zoomScale="101" workbookViewId="0">
      <selection activeCell="E26" sqref="E26"/>
    </sheetView>
  </sheetViews>
  <sheetFormatPr baseColWidth="10" defaultRowHeight="14.5" x14ac:dyDescent="0.35"/>
  <sheetData>
    <row r="2" spans="2:5" x14ac:dyDescent="0.35">
      <c r="B2" s="31" t="s">
        <v>15</v>
      </c>
      <c r="C2" s="31"/>
      <c r="D2" s="31"/>
      <c r="E2" s="31"/>
    </row>
    <row r="3" spans="2:5" x14ac:dyDescent="0.35">
      <c r="B3" s="31"/>
      <c r="C3" s="31"/>
      <c r="D3" s="31"/>
      <c r="E3" s="31"/>
    </row>
    <row r="4" spans="2:5" x14ac:dyDescent="0.35">
      <c r="B4" s="32" t="s">
        <v>24</v>
      </c>
      <c r="C4" s="32"/>
      <c r="D4" s="32"/>
      <c r="E4" s="32"/>
    </row>
    <row r="5" spans="2:5" x14ac:dyDescent="0.35">
      <c r="B5" s="32"/>
      <c r="C5" s="32"/>
      <c r="D5" s="32"/>
      <c r="E5" s="32"/>
    </row>
    <row r="6" spans="2:5" x14ac:dyDescent="0.35">
      <c r="B6" s="33" t="s">
        <v>25</v>
      </c>
      <c r="C6" s="33"/>
      <c r="D6" s="33"/>
      <c r="E6" s="33"/>
    </row>
    <row r="7" spans="2:5" x14ac:dyDescent="0.35">
      <c r="B7" s="33"/>
      <c r="C7" s="33"/>
      <c r="D7" s="33"/>
      <c r="E7" s="33"/>
    </row>
    <row r="8" spans="2:5" x14ac:dyDescent="0.35">
      <c r="B8" s="1"/>
      <c r="C8" s="1"/>
      <c r="D8" s="1"/>
      <c r="E8" s="1"/>
    </row>
    <row r="9" spans="2:5" x14ac:dyDescent="0.35">
      <c r="B9" s="1"/>
      <c r="C9" s="1"/>
      <c r="D9" s="1"/>
      <c r="E9" s="1"/>
    </row>
    <row r="10" spans="2:5" x14ac:dyDescent="0.35">
      <c r="B10" s="16" t="s">
        <v>10</v>
      </c>
      <c r="C10" s="16"/>
      <c r="D10" s="16" t="s">
        <v>12</v>
      </c>
      <c r="E10" s="16" t="s">
        <v>11</v>
      </c>
    </row>
    <row r="11" spans="2:5" x14ac:dyDescent="0.35">
      <c r="B11" s="16"/>
      <c r="C11" s="16"/>
      <c r="D11" s="16"/>
      <c r="E11" s="16"/>
    </row>
    <row r="12" spans="2:5" x14ac:dyDescent="0.35">
      <c r="B12" s="7" t="s">
        <v>26</v>
      </c>
      <c r="C12" s="7"/>
      <c r="D12" s="8">
        <v>5</v>
      </c>
      <c r="E12" s="8">
        <v>29.41</v>
      </c>
    </row>
    <row r="13" spans="2:5" x14ac:dyDescent="0.35">
      <c r="B13" s="7"/>
      <c r="C13" s="7"/>
      <c r="D13" s="9"/>
      <c r="E13" s="9"/>
    </row>
    <row r="14" spans="2:5" x14ac:dyDescent="0.35">
      <c r="B14" s="10" t="s">
        <v>27</v>
      </c>
      <c r="C14" s="10"/>
      <c r="D14" s="11">
        <v>5</v>
      </c>
      <c r="E14" s="11">
        <v>29.41</v>
      </c>
    </row>
    <row r="15" spans="2:5" x14ac:dyDescent="0.35">
      <c r="B15" s="10"/>
      <c r="C15" s="10"/>
      <c r="D15" s="12"/>
      <c r="E15" s="12"/>
    </row>
    <row r="16" spans="2:5" x14ac:dyDescent="0.35">
      <c r="B16" s="7" t="s">
        <v>28</v>
      </c>
      <c r="C16" s="7"/>
      <c r="D16" s="8">
        <v>7</v>
      </c>
      <c r="E16" s="8">
        <v>41.18</v>
      </c>
    </row>
    <row r="17" spans="2:5" x14ac:dyDescent="0.35">
      <c r="B17" s="7"/>
      <c r="C17" s="7"/>
      <c r="D17" s="9"/>
      <c r="E17" s="9"/>
    </row>
    <row r="18" spans="2:5" x14ac:dyDescent="0.35">
      <c r="B18" s="16" t="s">
        <v>9</v>
      </c>
      <c r="C18" s="16"/>
      <c r="D18" s="29">
        <v>17</v>
      </c>
      <c r="E18" s="30">
        <v>1</v>
      </c>
    </row>
    <row r="19" spans="2:5" x14ac:dyDescent="0.35">
      <c r="B19" s="16"/>
      <c r="C19" s="16"/>
      <c r="D19" s="29"/>
      <c r="E19" s="29"/>
    </row>
    <row r="24" spans="2:5" x14ac:dyDescent="0.35">
      <c r="B24" t="s">
        <v>26</v>
      </c>
      <c r="C24" s="4">
        <v>0.29409999999999997</v>
      </c>
    </row>
    <row r="25" spans="2:5" x14ac:dyDescent="0.35">
      <c r="B25" t="s">
        <v>27</v>
      </c>
      <c r="C25" s="4">
        <v>0.29409999999999997</v>
      </c>
    </row>
    <row r="26" spans="2:5" x14ac:dyDescent="0.35">
      <c r="B26" t="s">
        <v>28</v>
      </c>
      <c r="C26" s="4">
        <v>0.4118</v>
      </c>
    </row>
  </sheetData>
  <mergeCells count="18">
    <mergeCell ref="B2:E3"/>
    <mergeCell ref="B4:E5"/>
    <mergeCell ref="B6:E7"/>
    <mergeCell ref="B10:C11"/>
    <mergeCell ref="D10:D11"/>
    <mergeCell ref="E10:E11"/>
    <mergeCell ref="B12:C13"/>
    <mergeCell ref="D12:D13"/>
    <mergeCell ref="E12:E13"/>
    <mergeCell ref="B14:C15"/>
    <mergeCell ref="D14:D15"/>
    <mergeCell ref="E14:E15"/>
    <mergeCell ref="B18:C19"/>
    <mergeCell ref="D18:D19"/>
    <mergeCell ref="E18:E19"/>
    <mergeCell ref="B16:C17"/>
    <mergeCell ref="D16:D17"/>
    <mergeCell ref="E16:E1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DD579-46B1-4CE7-8E84-E66FA16689CA}">
  <dimension ref="B2:E36"/>
  <sheetViews>
    <sheetView tabSelected="1" zoomScale="106" workbookViewId="0">
      <selection activeCell="E23" sqref="E23"/>
    </sheetView>
  </sheetViews>
  <sheetFormatPr baseColWidth="10" defaultRowHeight="14.5" x14ac:dyDescent="0.35"/>
  <sheetData>
    <row r="2" spans="2:5" x14ac:dyDescent="0.35">
      <c r="B2" s="36" t="s">
        <v>1</v>
      </c>
      <c r="C2" s="36"/>
      <c r="D2" s="36"/>
      <c r="E2" s="36"/>
    </row>
    <row r="3" spans="2:5" x14ac:dyDescent="0.35">
      <c r="B3" s="36"/>
      <c r="C3" s="36"/>
      <c r="D3" s="36"/>
      <c r="E3" s="36"/>
    </row>
    <row r="4" spans="2:5" x14ac:dyDescent="0.35">
      <c r="B4" s="35" t="s">
        <v>0</v>
      </c>
      <c r="C4" s="35"/>
      <c r="D4" s="35"/>
      <c r="E4" s="35"/>
    </row>
    <row r="5" spans="2:5" x14ac:dyDescent="0.35">
      <c r="B5" s="35"/>
      <c r="C5" s="35"/>
      <c r="D5" s="35"/>
      <c r="E5" s="35"/>
    </row>
    <row r="6" spans="2:5" x14ac:dyDescent="0.35">
      <c r="B6" s="37" t="s">
        <v>2</v>
      </c>
      <c r="C6" s="37"/>
      <c r="D6" s="37"/>
      <c r="E6" s="37"/>
    </row>
    <row r="7" spans="2:5" x14ac:dyDescent="0.35">
      <c r="B7" s="37"/>
      <c r="C7" s="37"/>
      <c r="D7" s="37"/>
      <c r="E7" s="37"/>
    </row>
    <row r="8" spans="2:5" x14ac:dyDescent="0.35">
      <c r="B8" s="1"/>
      <c r="C8" s="1"/>
      <c r="D8" s="1"/>
      <c r="E8" s="1"/>
    </row>
    <row r="9" spans="2:5" x14ac:dyDescent="0.35">
      <c r="B9" s="1"/>
      <c r="C9" s="1"/>
      <c r="D9" s="1"/>
      <c r="E9" s="1"/>
    </row>
    <row r="10" spans="2:5" x14ac:dyDescent="0.35">
      <c r="B10" s="16" t="s">
        <v>10</v>
      </c>
      <c r="C10" s="16"/>
      <c r="D10" s="16" t="s">
        <v>12</v>
      </c>
      <c r="E10" s="16" t="s">
        <v>11</v>
      </c>
    </row>
    <row r="11" spans="2:5" x14ac:dyDescent="0.35">
      <c r="B11" s="16"/>
      <c r="C11" s="16"/>
      <c r="D11" s="16"/>
      <c r="E11" s="16"/>
    </row>
    <row r="12" spans="2:5" x14ac:dyDescent="0.35">
      <c r="B12" s="7" t="s">
        <v>5</v>
      </c>
      <c r="C12" s="7"/>
      <c r="D12" s="8">
        <v>2</v>
      </c>
      <c r="E12" s="38">
        <v>0.4</v>
      </c>
    </row>
    <row r="13" spans="2:5" x14ac:dyDescent="0.35">
      <c r="B13" s="7"/>
      <c r="C13" s="7"/>
      <c r="D13" s="9"/>
      <c r="E13" s="9"/>
    </row>
    <row r="14" spans="2:5" x14ac:dyDescent="0.35">
      <c r="B14" s="10" t="s">
        <v>7</v>
      </c>
      <c r="C14" s="10"/>
      <c r="D14" s="11">
        <v>2</v>
      </c>
      <c r="E14" s="34">
        <v>0.4</v>
      </c>
    </row>
    <row r="15" spans="2:5" x14ac:dyDescent="0.35">
      <c r="B15" s="10"/>
      <c r="C15" s="10"/>
      <c r="D15" s="12"/>
      <c r="E15" s="12"/>
    </row>
    <row r="16" spans="2:5" x14ac:dyDescent="0.35">
      <c r="B16" s="7" t="s">
        <v>8</v>
      </c>
      <c r="C16" s="7"/>
      <c r="D16" s="8">
        <v>1</v>
      </c>
      <c r="E16" s="38">
        <v>0.2</v>
      </c>
    </row>
    <row r="17" spans="2:5" x14ac:dyDescent="0.35">
      <c r="B17" s="7"/>
      <c r="C17" s="7"/>
      <c r="D17" s="9"/>
      <c r="E17" s="9"/>
    </row>
    <row r="18" spans="2:5" x14ac:dyDescent="0.35">
      <c r="B18" s="10" t="s">
        <v>6</v>
      </c>
      <c r="C18" s="10"/>
      <c r="D18" s="11">
        <v>0</v>
      </c>
      <c r="E18" s="34">
        <v>0</v>
      </c>
    </row>
    <row r="19" spans="2:5" x14ac:dyDescent="0.35">
      <c r="B19" s="10"/>
      <c r="C19" s="10"/>
      <c r="D19" s="12"/>
      <c r="E19" s="12"/>
    </row>
    <row r="20" spans="2:5" x14ac:dyDescent="0.35">
      <c r="B20" s="5" t="s">
        <v>9</v>
      </c>
      <c r="C20" s="5"/>
      <c r="D20" s="6">
        <v>5</v>
      </c>
      <c r="E20" s="17">
        <v>1</v>
      </c>
    </row>
    <row r="21" spans="2:5" x14ac:dyDescent="0.35">
      <c r="B21" s="5"/>
      <c r="C21" s="5"/>
      <c r="D21" s="6"/>
      <c r="E21" s="6"/>
    </row>
    <row r="29" spans="2:5" x14ac:dyDescent="0.35">
      <c r="B29" s="7" t="s">
        <v>13</v>
      </c>
      <c r="C29" s="7"/>
    </row>
    <row r="30" spans="2:5" x14ac:dyDescent="0.35">
      <c r="B30" s="7"/>
      <c r="C30" s="7"/>
    </row>
    <row r="31" spans="2:5" x14ac:dyDescent="0.35">
      <c r="B31" s="10" t="s">
        <v>3</v>
      </c>
      <c r="C31" s="10"/>
    </row>
    <row r="32" spans="2:5" x14ac:dyDescent="0.35">
      <c r="B32" s="10"/>
      <c r="C32" s="10"/>
    </row>
    <row r="33" spans="2:3" x14ac:dyDescent="0.35">
      <c r="B33" s="7" t="s">
        <v>4</v>
      </c>
      <c r="C33" s="7"/>
    </row>
    <row r="34" spans="2:3" x14ac:dyDescent="0.35">
      <c r="B34" s="7"/>
      <c r="C34" s="7"/>
    </row>
    <row r="35" spans="2:3" x14ac:dyDescent="0.35">
      <c r="B35" s="10" t="s">
        <v>14</v>
      </c>
      <c r="C35" s="10"/>
    </row>
    <row r="36" spans="2:3" x14ac:dyDescent="0.35">
      <c r="B36" s="10"/>
      <c r="C36" s="10"/>
    </row>
  </sheetData>
  <mergeCells count="25">
    <mergeCell ref="B4:E5"/>
    <mergeCell ref="B2:E3"/>
    <mergeCell ref="B6:E7"/>
    <mergeCell ref="B12:C13"/>
    <mergeCell ref="B14:C15"/>
    <mergeCell ref="E12:E13"/>
    <mergeCell ref="E14:E15"/>
    <mergeCell ref="E20:E21"/>
    <mergeCell ref="B10:C11"/>
    <mergeCell ref="D10:D11"/>
    <mergeCell ref="E10:E11"/>
    <mergeCell ref="B18:C19"/>
    <mergeCell ref="D12:D13"/>
    <mergeCell ref="D14:D15"/>
    <mergeCell ref="D16:D17"/>
    <mergeCell ref="D18:D19"/>
    <mergeCell ref="E18:E19"/>
    <mergeCell ref="B16:C17"/>
    <mergeCell ref="E16:E17"/>
    <mergeCell ref="B29:C30"/>
    <mergeCell ref="B31:C32"/>
    <mergeCell ref="B33:C34"/>
    <mergeCell ref="B35:C36"/>
    <mergeCell ref="D20:D21"/>
    <mergeCell ref="B20:C2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GRAFIC 1</vt:lpstr>
      <vt:lpstr>GRAFIC 2</vt:lpstr>
      <vt:lpstr>GRAFIC 3</vt:lpstr>
      <vt:lpstr>GRAFIC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YAÑES ZABALA</dc:creator>
  <cp:lastModifiedBy>Sara socha</cp:lastModifiedBy>
  <dcterms:created xsi:type="dcterms:W3CDTF">2026-03-08T00:33:04Z</dcterms:created>
  <dcterms:modified xsi:type="dcterms:W3CDTF">2026-03-08T03:04:39Z</dcterms:modified>
</cp:coreProperties>
</file>